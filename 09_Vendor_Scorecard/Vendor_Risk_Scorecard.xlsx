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card" sheetId="1" state="visible" r:id="rId1"/>
    <sheet name="Risk_vs_Score" sheetId="2" state="visible" r:id="rId2"/>
  </sheets>
  <definedNames>
    <definedName name="_xlnm._FilterDatabase" localSheetId="0" hidden="1">'Scorecard'!$A$6:$E$21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445566"/>
      <sz val="10"/>
    </font>
    <font>
      <name val="Calibri"/>
      <i val="1"/>
      <color rgb="008B1E3F"/>
      <sz val="9"/>
    </font>
    <font>
      <b val="1"/>
      <color rgb="001B365D"/>
      <sz val="14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7F8FA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9" fontId="6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9" fontId="6" fillId="3" borderId="1" applyAlignment="1" pivotButton="0" quotePrefix="0" xfId="0">
      <alignment vertical="center" wrapText="1"/>
    </xf>
    <xf numFmtId="164" fontId="6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Domain scores (0–100)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'Scorecard'!C6</f>
            </strRef>
          </tx>
          <spPr>
            <a:ln>
              <a:prstDash val="solid"/>
            </a:ln>
          </spPr>
          <cat>
            <numRef>
              <f>'Scorecard'!$A$7:$A$15</f>
            </numRef>
          </cat>
          <val>
            <numRef>
              <f>'Scorecard'!$C$7:$C$15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2" customWidth="1" min="3" max="3"/>
    <col width="16" customWidth="1" min="4" max="4"/>
    <col width="70" customWidth="1" min="5" max="5"/>
  </cols>
  <sheetData>
    <row r="1">
      <c r="A1" s="1" t="inlineStr">
        <is>
          <t>Vendor Risk Scorecard — CloudFlow Technologies</t>
        </is>
      </c>
    </row>
    <row r="2">
      <c r="A2" s="2" t="inlineStr">
        <is>
          <t>Nexus Financial Services  |  Vendor: CloudFlow Technologies  |  Product: CloudFlow CRM  |  NEX-TPRM-2026-014  |  Report date: 2026-03-06</t>
        </is>
      </c>
    </row>
    <row r="3">
      <c r="A3" s="3" t="inlineStr">
        <is>
          <t>This is a fictional cybersecurity case study created for educational and portfolio purposes.</t>
        </is>
      </c>
    </row>
    <row r="6" ht="32" customHeight="1">
      <c r="A6" s="4" t="inlineStr">
        <is>
          <t>Domain</t>
        </is>
      </c>
      <c r="B6" s="4" t="inlineStr">
        <is>
          <t>Weight</t>
        </is>
      </c>
      <c r="C6" s="4" t="inlineStr">
        <is>
          <t>Domain Score (0–100)</t>
        </is>
      </c>
      <c r="D6" s="4" t="inlineStr">
        <is>
          <t>Weighted Score</t>
        </is>
      </c>
      <c r="E6" s="4" t="inlineStr">
        <is>
          <t>Scoring Notes</t>
        </is>
      </c>
    </row>
    <row r="7">
      <c r="A7" s="5" t="inlineStr">
        <is>
          <t>Security Governance</t>
        </is>
      </c>
      <c r="B7" s="6" t="n">
        <v>0.1</v>
      </c>
      <c r="C7" s="5" t="n">
        <v>78</v>
      </c>
      <c r="D7" s="5">
        <f>B7*C7</f>
        <v/>
      </c>
      <c r="E7" s="5" t="inlineStr">
        <is>
          <t>Named CISO and policies; incomplete review evidence; no ISO 27001.</t>
        </is>
      </c>
    </row>
    <row r="8">
      <c r="A8" s="7" t="inlineStr">
        <is>
          <t>Access Control</t>
        </is>
      </c>
      <c r="B8" s="8" t="n">
        <v>0.1</v>
      </c>
      <c r="C8" s="7" t="n">
        <v>82</v>
      </c>
      <c r="D8" s="7">
        <f>B8*C8</f>
        <v/>
      </c>
      <c r="E8" s="7" t="inlineStr">
        <is>
          <t>Strong privileged MFA and RBAC; legacy MFA gap prevents a higher score.</t>
        </is>
      </c>
    </row>
    <row r="9">
      <c r="A9" s="5" t="inlineStr">
        <is>
          <t>Data Protection</t>
        </is>
      </c>
      <c r="B9" s="6" t="n">
        <v>0.15</v>
      </c>
      <c r="C9" s="5" t="n">
        <v>88</v>
      </c>
      <c r="D9" s="5">
        <f>B9*C9</f>
        <v/>
      </c>
      <c r="E9" s="5" t="inlineStr">
        <is>
          <t>Encryption, classification, and tenant isolation are strengths. Scope excludes card data.</t>
        </is>
      </c>
    </row>
    <row r="10">
      <c r="A10" s="7" t="inlineStr">
        <is>
          <t>Vulnerability Management</t>
        </is>
      </c>
      <c r="B10" s="8" t="n">
        <v>0.1</v>
      </c>
      <c r="C10" s="7" t="n">
        <v>74</v>
      </c>
      <c r="D10" s="7">
        <f>B10*C10</f>
        <v/>
      </c>
      <c r="E10" s="7" t="inlineStr">
        <is>
          <t>Good scanning and PT; 30-day High SLA reduces the score.</t>
        </is>
      </c>
    </row>
    <row r="11">
      <c r="A11" s="5" t="inlineStr">
        <is>
          <t>Incident Response</t>
        </is>
      </c>
      <c r="B11" s="6" t="n">
        <v>0.1</v>
      </c>
      <c r="C11" s="5" t="n">
        <v>72</v>
      </c>
      <c r="D11" s="5">
        <f>B11*C11</f>
        <v/>
      </c>
      <c r="E11" s="5" t="inlineStr">
        <is>
          <t>Mature IR plan; customer notification SLA is unclear.</t>
        </is>
      </c>
    </row>
    <row r="12">
      <c r="A12" s="7" t="inlineStr">
        <is>
          <t>Business Continuity</t>
        </is>
      </c>
      <c r="B12" s="8" t="n">
        <v>0.15</v>
      </c>
      <c r="C12" s="7" t="n">
        <v>62</v>
      </c>
      <c r="D12" s="7">
        <f>B12*C12</f>
        <v/>
      </c>
      <c r="E12" s="7" t="inlineStr">
        <is>
          <t>Daily backups and stated RTO; RPO missing; restore tests annual only.</t>
        </is>
      </c>
    </row>
    <row r="13">
      <c r="A13" s="5" t="inlineStr">
        <is>
          <t>Compliance</t>
        </is>
      </c>
      <c r="B13" s="6" t="n">
        <v>0.1</v>
      </c>
      <c r="C13" s="5" t="n">
        <v>70</v>
      </c>
      <c r="D13" s="5">
        <f>B13*C13</f>
        <v/>
      </c>
      <c r="E13" s="5" t="inlineStr">
        <is>
          <t>SOC 2 Type I (not Type II); no ISO 27001; mapping exists.</t>
        </is>
      </c>
    </row>
    <row r="14">
      <c r="A14" s="7" t="inlineStr">
        <is>
          <t>Cloud Security</t>
        </is>
      </c>
      <c r="B14" s="8" t="n">
        <v>0.1</v>
      </c>
      <c r="C14" s="7" t="n">
        <v>85</v>
      </c>
      <c r="D14" s="7">
        <f>B14*C14</f>
        <v/>
      </c>
      <c r="E14" s="7" t="inlineStr">
        <is>
          <t>AWS baseline, logging, detection, and encryption are strong.</t>
        </is>
      </c>
    </row>
    <row r="15">
      <c r="A15" s="5" t="inlineStr">
        <is>
          <t>Third-Party Management</t>
        </is>
      </c>
      <c r="B15" s="6" t="n">
        <v>0.1</v>
      </c>
      <c r="C15" s="5" t="n">
        <v>58</v>
      </c>
      <c r="D15" s="5">
        <f>B15*C15</f>
        <v/>
      </c>
      <c r="E15" s="5" t="inlineStr">
        <is>
          <t>Inventory exists; formal scored assessments are missing.</t>
        </is>
      </c>
    </row>
    <row r="16">
      <c r="A16" s="7" t="inlineStr">
        <is>
          <t>WEIGHTED OVERALL SCORE</t>
        </is>
      </c>
      <c r="B16" s="8">
        <f>SUM(B7:B15)</f>
        <v/>
      </c>
      <c r="C16" s="7" t="n"/>
      <c r="D16" s="9">
        <f>SUM(D7:D15)</f>
        <v/>
      </c>
      <c r="E16" s="7" t="n"/>
    </row>
    <row r="17">
      <c r="A17" s="5" t="n"/>
      <c r="B17" s="5" t="n"/>
      <c r="C17" s="5" t="n"/>
      <c r="D17" s="5" t="n"/>
      <c r="E17" s="5" t="n"/>
    </row>
    <row r="18">
      <c r="A18" s="7" t="inlineStr">
        <is>
          <t>Overall residual risk rating (not derived from the score alone)</t>
        </is>
      </c>
      <c r="B18" s="7" t="inlineStr">
        <is>
          <t>High</t>
        </is>
      </c>
      <c r="C18" s="7" t="n"/>
      <c r="D18" s="7" t="n"/>
      <c r="E18" s="7" t="n"/>
    </row>
    <row r="19">
      <c r="A19" s="5" t="inlineStr">
        <is>
          <t>Recommendation</t>
        </is>
      </c>
      <c r="B19" s="5" t="inlineStr">
        <is>
          <t>Conditional Approval</t>
        </is>
      </c>
      <c r="C19" s="5" t="n"/>
      <c r="D19" s="5" t="n"/>
      <c r="E19" s="5" t="n"/>
    </row>
    <row r="20">
      <c r="A20" s="7" t="n"/>
      <c r="B20" s="7" t="n"/>
      <c r="C20" s="7" t="n"/>
      <c r="D20" s="7" t="n"/>
      <c r="E20" s="7" t="n"/>
    </row>
    <row r="21">
      <c r="A21" s="5" t="inlineStr">
        <is>
          <t>Interpretation: a score in the 70–80 range indicates a generally capable SaaS control environment with material gaps. Domain scores are not a substitute for residual risk. Four High residual risks remain; therefore overall vendor risk is High despite a 74.4 overall score.</t>
        </is>
      </c>
      <c r="B21" s="5" t="n"/>
      <c r="C21" s="5" t="n"/>
      <c r="D21" s="5" t="n"/>
      <c r="E21" s="5" t="n"/>
    </row>
  </sheetData>
  <autoFilter ref="A6:E21"/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Why 74.4% is still High residual risk</t>
        </is>
      </c>
    </row>
    <row r="2">
      <c r="A2" s="2" t="inlineStr">
        <is>
          <t>Nexus Financial Services  |  Vendor: CloudFlow Technologies  |  Product: CloudFlow CRM  |  NEX-TPRM-2026-014  |  Report date: 2026-03-06</t>
        </is>
      </c>
    </row>
    <row r="3">
      <c r="A3" s="3" t="inlineStr">
        <is>
          <t>This is a fictional cybersecurity case study created for educational and portfolio purposes.</t>
        </is>
      </c>
    </row>
    <row r="6">
      <c r="A6" t="inlineStr">
        <is>
          <t>Overall score</t>
        </is>
      </c>
      <c r="B6" t="n">
        <v>74.40000000000001</v>
      </c>
    </row>
    <row r="7">
      <c r="A7" t="inlineStr">
        <is>
          <t>Overall residual risk</t>
        </is>
      </c>
      <c r="B7" t="inlineStr">
        <is>
          <t>High</t>
        </is>
      </c>
    </row>
    <row r="8">
      <c r="A8" t="inlineStr">
        <is>
          <t>Primary High residual risks</t>
        </is>
      </c>
      <c r="B8" t="inlineStr">
        <is>
          <t>VR-001, VR-002, VR-003, VR-004</t>
        </is>
      </c>
    </row>
    <row r="10">
      <c r="A10" t="inlineStr">
        <is>
          <t>This is a fictional cybersecurity case study created for educational and portfolio purposes.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2026-09-11T03:51:29Z</dcterms:created>
  <dcterms:modified xsi:type="dcterms:W3CDTF">2026-09-11T03:51:29Z</dcterms:modified>
</cp:coreProperties>
</file>