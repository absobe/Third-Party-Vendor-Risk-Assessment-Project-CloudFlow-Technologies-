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_Register" sheetId="1" state="visible" r:id="rId1"/>
    <sheet name="Dashboard" sheetId="2" state="visible" r:id="rId2"/>
    <sheet name="Scoring_Scale" sheetId="3" state="visible" r:id="rId3"/>
  </sheets>
  <definedNames>
    <definedName name="_xlnm._FilterDatabase" localSheetId="0" hidden="1">'Risk_Register'!$A$6:$T$14</definedName>
    <definedName name="_xlnm._FilterDatabase" localSheetId="1" hidden="1">'Dashboard'!$A$6:$B$6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5566"/>
      <sz val="10"/>
    </font>
    <font>
      <name val="Calibri"/>
      <i val="1"/>
      <color rgb="008B1E3F"/>
      <sz val="9"/>
    </font>
    <font>
      <name val="Calibri"/>
      <b val="1"/>
      <color rgb="00FFFFFF"/>
      <sz val="11"/>
    </font>
    <font>
      <name val="Calibri"/>
      <sz val="10"/>
    </font>
    <font>
      <i val="1"/>
      <color rgb="008B1E3F"/>
    </font>
  </fonts>
  <fills count="6">
    <fill>
      <patternFill/>
    </fill>
    <fill>
      <patternFill patternType="gray125"/>
    </fill>
    <fill>
      <patternFill patternType="solid">
        <fgColor rgb="00FFCC80"/>
      </patternFill>
    </fill>
    <fill>
      <patternFill patternType="solid">
        <fgColor rgb="00FFF3B0"/>
      </patternFill>
    </fill>
    <fill>
      <patternFill patternType="solid">
        <fgColor rgb="001B365D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0" customWidth="1" min="4" max="4"/>
    <col width="32" customWidth="1" min="5" max="5"/>
    <col width="28" customWidth="1" min="6" max="6"/>
    <col width="12" customWidth="1" min="7" max="7"/>
    <col width="10" customWidth="1" min="8" max="8"/>
    <col width="14" customWidth="1" min="9" max="9"/>
    <col width="40" customWidth="1" min="10" max="10"/>
    <col width="18" customWidth="1" min="11" max="11"/>
    <col width="14" customWidth="1" min="12" max="12"/>
    <col width="14" customWidth="1" min="13" max="13"/>
    <col width="14" customWidth="1" min="14" max="14"/>
    <col width="36" customWidth="1" min="15" max="15"/>
    <col width="12" customWidth="1" min="16" max="16"/>
    <col width="14" customWidth="1" min="17" max="17"/>
    <col width="40" customWidth="1" min="18" max="18"/>
    <col width="40" customWidth="1" min="19" max="19"/>
    <col width="40" customWidth="1" min="20" max="20"/>
  </cols>
  <sheetData>
    <row r="1">
      <c r="A1" s="1" t="inlineStr">
        <is>
          <t>Vendor Risk Register — CloudFlow Technologies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 ht="32" customHeight="1">
      <c r="A6" s="4" t="inlineStr">
        <is>
          <t>Risk ID</t>
        </is>
      </c>
      <c r="B6" s="4" t="inlineStr">
        <is>
          <t>Risk Title</t>
        </is>
      </c>
      <c r="C6" s="4" t="inlineStr">
        <is>
          <t>Description</t>
        </is>
      </c>
      <c r="D6" s="4" t="inlineStr">
        <is>
          <t>Business Impact</t>
        </is>
      </c>
      <c r="E6" s="4" t="inlineStr">
        <is>
          <t>Affected Asset</t>
        </is>
      </c>
      <c r="F6" s="4" t="inlineStr">
        <is>
          <t>Control Domain</t>
        </is>
      </c>
      <c r="G6" s="4" t="inlineStr">
        <is>
          <t>Likelihood</t>
        </is>
      </c>
      <c r="H6" s="4" t="inlineStr">
        <is>
          <t>Impact</t>
        </is>
      </c>
      <c r="I6" s="4" t="inlineStr">
        <is>
          <t>Inherent Risk</t>
        </is>
      </c>
      <c r="J6" s="4" t="inlineStr">
        <is>
          <t>Existing Controls</t>
        </is>
      </c>
      <c r="K6" s="4" t="inlineStr">
        <is>
          <t>Residual Likelihood</t>
        </is>
      </c>
      <c r="L6" s="4" t="inlineStr">
        <is>
          <t>Residual Impact</t>
        </is>
      </c>
      <c r="M6" s="4" t="inlineStr">
        <is>
          <t>Residual Risk</t>
        </is>
      </c>
      <c r="N6" s="4" t="inlineStr">
        <is>
          <t>Risk Rating</t>
        </is>
      </c>
      <c r="O6" s="4" t="inlineStr">
        <is>
          <t>Risk Owner</t>
        </is>
      </c>
      <c r="P6" s="4" t="inlineStr">
        <is>
          <t>Treatment</t>
        </is>
      </c>
      <c r="Q6" s="4" t="inlineStr">
        <is>
          <t>Due Date</t>
        </is>
      </c>
      <c r="R6" s="4" t="inlineStr">
        <is>
          <t>Status</t>
        </is>
      </c>
      <c r="S6" s="4" t="inlineStr">
        <is>
          <t>Acceptance Required</t>
        </is>
      </c>
      <c r="T6" s="4" t="inlineStr">
        <is>
          <t>Evidence Reference</t>
        </is>
      </c>
    </row>
    <row r="7">
      <c r="A7" s="5" t="inlineStr">
        <is>
          <t>VR-001</t>
        </is>
      </c>
      <c r="B7" s="5" t="inlineStr">
        <is>
          <t>Weak Subprocessor Governance</t>
        </is>
      </c>
      <c r="C7" s="5" t="inlineStr">
        <is>
          <t>CloudFlow Technologies lacks a consistently documented and formally scored process for evaluating security risks associated with subprocessors.</t>
        </is>
      </c>
      <c r="D7" s="5" t="inlineStr">
        <is>
          <t>A weakly governed subprocessor could expose Nexus Confidential CRM data to unauthorized access, availability disruption, or delayed incident awareness.</t>
        </is>
      </c>
      <c r="E7" s="5" t="inlineStr">
        <is>
          <t>CloudFlow CRM customer and employee contact data; subprocessor chain</t>
        </is>
      </c>
      <c r="F7" s="5" t="inlineStr">
        <is>
          <t>Third-Party / Subprocessor Management</t>
        </is>
      </c>
      <c r="G7" s="5" t="n">
        <v>4</v>
      </c>
      <c r="H7" s="5" t="n">
        <v>4</v>
      </c>
      <c r="I7" s="5">
        <f>G7*H7</f>
        <v/>
      </c>
      <c r="J7" s="5" t="inlineStr">
        <is>
          <t>Subprocessor inventory exists; contractual flow-down clauses for core AWS and selected SaaS utilities; annual review of named subprocessors without standardized risk scoring.</t>
        </is>
      </c>
      <c r="K7" s="5" t="n">
        <v>3</v>
      </c>
      <c r="L7" s="5" t="n">
        <v>4</v>
      </c>
      <c r="M7" s="5">
        <f>K7*L7</f>
        <v/>
      </c>
      <c r="N7" s="5">
        <f>IF(M7&lt;=4,"Low",IF(M7&lt;=9,"Moderate",IF(M7&lt;=16,"High","Critical")))</f>
        <v/>
      </c>
      <c r="O7" s="5" t="inlineStr">
        <is>
          <t>Jordan Hale, CISO, CloudFlow Technologies (Nexus TPRM owner: Priya Mehta)</t>
        </is>
      </c>
      <c r="P7" s="6" t="inlineStr">
        <is>
          <t>Mitigate</t>
        </is>
      </c>
      <c r="Q7" s="5" t="inlineStr">
        <is>
          <t>2026-04-30</t>
        </is>
      </c>
      <c r="R7" s="5" t="inlineStr">
        <is>
          <t>Open — remediation required before unrestricted production use</t>
        </is>
      </c>
      <c r="S7" s="5" t="inlineStr">
        <is>
          <t>No — mitigate; residual High until remediation complete</t>
        </is>
      </c>
      <c r="T7" s="5" t="inlineStr">
        <is>
          <t>Subprocessor_Management_Summary.pdf; Q-S-048; CTRL-TPRM-004</t>
        </is>
      </c>
    </row>
    <row r="8">
      <c r="A8" s="7" t="inlineStr">
        <is>
          <t>VR-002</t>
        </is>
      </c>
      <c r="B8" s="7" t="inlineStr">
        <is>
          <t>Insufficient Backup Recovery Testing</t>
        </is>
      </c>
      <c r="C8" s="7" t="inlineStr">
        <is>
          <t>Backup restoration testing is performed annually only and may not provide sufficient evidence that critical CRM services can be recovered within expected timeframes.</t>
        </is>
      </c>
      <c r="D8" s="7" t="inlineStr">
        <is>
          <t>Nexus sales operations, customer support, and relationship records could remain unavailable longer than business tolerance after a destructive incident.</t>
        </is>
      </c>
      <c r="E8" s="7" t="inlineStr">
        <is>
          <t>CloudFlow CRM production data stores and backup media</t>
        </is>
      </c>
      <c r="F8" s="7" t="inlineStr">
        <is>
          <t>Business Continuity / Backup Management</t>
        </is>
      </c>
      <c r="G8" s="7" t="n">
        <v>4</v>
      </c>
      <c r="H8" s="7" t="n">
        <v>4</v>
      </c>
      <c r="I8" s="7">
        <f>G8*H8</f>
        <v/>
      </c>
      <c r="J8" s="7" t="inlineStr">
        <is>
          <t>Daily encrypted backups; 30-day operational retention plus 12-month archive; annual restoration test of a non-production snapshot completed 2025-11-12.</t>
        </is>
      </c>
      <c r="K8" s="7" t="n">
        <v>3</v>
      </c>
      <c r="L8" s="7" t="n">
        <v>4</v>
      </c>
      <c r="M8" s="7">
        <f>K8*L8</f>
        <v/>
      </c>
      <c r="N8" s="7">
        <f>IF(M8&lt;=4,"Low",IF(M8&lt;=9,"Moderate",IF(M8&lt;=16,"High","Critical")))</f>
        <v/>
      </c>
      <c r="O8" s="7" t="inlineStr">
        <is>
          <t>Taylor Nguyen, Director of Infrastructure, CloudFlow Technologies</t>
        </is>
      </c>
      <c r="P8" s="6" t="inlineStr">
        <is>
          <t>Mitigate</t>
        </is>
      </c>
      <c r="Q8" s="7" t="inlineStr">
        <is>
          <t>2026-04-30</t>
        </is>
      </c>
      <c r="R8" s="7" t="inlineStr">
        <is>
          <t>Open — quarterly restoration testing required</t>
        </is>
      </c>
      <c r="S8" s="7" t="inlineStr">
        <is>
          <t>No — mitigate; residual High until testing cadence improves</t>
        </is>
      </c>
      <c r="T8" s="7" t="inlineStr">
        <is>
          <t>Backup_and_Recovery_Summary.pdf; Business_Continuity_Plan.pdf; Q-M-037</t>
        </is>
      </c>
    </row>
    <row r="9">
      <c r="A9" s="5" t="inlineStr">
        <is>
          <t>VR-003</t>
        </is>
      </c>
      <c r="B9" s="5" t="inlineStr">
        <is>
          <t>Undefined Recovery Point Objective</t>
        </is>
      </c>
      <c r="C9" s="5" t="inlineStr">
        <is>
          <t>The vendor does not have a formally documented Recovery Point Objective (RPO) for the CloudFlow CRM platform.</t>
        </is>
      </c>
      <c r="D9" s="5" t="inlineStr">
        <is>
          <t>Nexus cannot confirm maximum acceptable data loss. Daily backups imply up to approximately 24 hours of potential data loss, which may exceed Confidential CRM recovery expectations.</t>
        </is>
      </c>
      <c r="E9" s="5" t="inlineStr">
        <is>
          <t>CloudFlow CRM platform availability and data integrity</t>
        </is>
      </c>
      <c r="F9" s="5" t="inlineStr">
        <is>
          <t>Business Continuity / Disaster Recovery</t>
        </is>
      </c>
      <c r="G9" s="5" t="n">
        <v>4</v>
      </c>
      <c r="H9" s="5" t="n">
        <v>4</v>
      </c>
      <c r="I9" s="5">
        <f>G9*H9</f>
        <v/>
      </c>
      <c r="J9" s="5" t="inlineStr">
        <is>
          <t>Daily backups provide a de facto recovery point of approximately 24 hours; RTO of 8 hours is stated for the production CRM tier in the BCP, but RPO is not formally approved by business and technology owners.</t>
        </is>
      </c>
      <c r="K9" s="5" t="n">
        <v>3</v>
      </c>
      <c r="L9" s="5" t="n">
        <v>4</v>
      </c>
      <c r="M9" s="5">
        <f>K9*L9</f>
        <v/>
      </c>
      <c r="N9" s="5">
        <f>IF(M9&lt;=4,"Low",IF(M9&lt;=9,"Moderate",IF(M9&lt;=16,"High","Critical")))</f>
        <v/>
      </c>
      <c r="O9" s="5" t="inlineStr">
        <is>
          <t>Taylor Nguyen, Director of Infrastructure, CloudFlow Technologies</t>
        </is>
      </c>
      <c r="P9" s="6" t="inlineStr">
        <is>
          <t>Mitigate</t>
        </is>
      </c>
      <c r="Q9" s="5" t="inlineStr">
        <is>
          <t>2026-03-31</t>
        </is>
      </c>
      <c r="R9" s="5" t="inlineStr">
        <is>
          <t>Open — RPO must be documented and contractually committed</t>
        </is>
      </c>
      <c r="S9" s="5" t="inlineStr">
        <is>
          <t>No — mitigate</t>
        </is>
      </c>
      <c r="T9" s="5" t="inlineStr">
        <is>
          <t>Business_Continuity_Plan.pdf; Backup_and_Recovery_Summary.pdf; Q-L-033</t>
        </is>
      </c>
    </row>
    <row r="10">
      <c r="A10" s="7" t="inlineStr">
        <is>
          <t>VR-004</t>
        </is>
      </c>
      <c r="B10" s="7" t="inlineStr">
        <is>
          <t>Unclear Incident Notification SLA</t>
        </is>
      </c>
      <c r="C10" s="7" t="inlineStr">
        <is>
          <t>The customer notification timeframe following a material cybersecurity incident is not clearly defined. Vendor language uses 'without undue delay' without a clock.</t>
        </is>
      </c>
      <c r="D10" s="7" t="inlineStr">
        <is>
          <t>Nexus may be unable to meet its own regulatory, contractual, and customer notification obligations if CloudFlow delays notice after a material incident.</t>
        </is>
      </c>
      <c r="E10" s="7" t="inlineStr">
        <is>
          <t>Nexus incident response and regulatory notification obligations</t>
        </is>
      </c>
      <c r="F10" s="7" t="inlineStr">
        <is>
          <t>Incident Response</t>
        </is>
      </c>
      <c r="G10" s="7" t="n">
        <v>4</v>
      </c>
      <c r="H10" s="7" t="n">
        <v>4</v>
      </c>
      <c r="I10" s="7">
        <f>G10*H10</f>
        <v/>
      </c>
      <c r="J10" s="7" t="inlineStr">
        <is>
          <t>Formal incident response plan; severity classification; internal 24-hour executive escalation for Severity 1 events; customer notice described as 'without undue delay' and 'as required by law'.</t>
        </is>
      </c>
      <c r="K10" s="7" t="n">
        <v>3</v>
      </c>
      <c r="L10" s="7" t="n">
        <v>4</v>
      </c>
      <c r="M10" s="7">
        <f>K10*L10</f>
        <v/>
      </c>
      <c r="N10" s="7">
        <f>IF(M10&lt;=4,"Low",IF(M10&lt;=9,"Moderate",IF(M10&lt;=16,"High","Critical")))</f>
        <v/>
      </c>
      <c r="O10" s="7" t="inlineStr">
        <is>
          <t>Morgan Ellis, Director of Security, CloudFlow Technologies</t>
        </is>
      </c>
      <c r="P10" s="6" t="inlineStr">
        <is>
          <t>Mitigate</t>
        </is>
      </c>
      <c r="Q10" s="7" t="inlineStr">
        <is>
          <t>2026-03-31</t>
        </is>
      </c>
      <c r="R10" s="7" t="inlineStr">
        <is>
          <t>Open — contractual 24-hour material incident notice required</t>
        </is>
      </c>
      <c r="S10" s="7" t="inlineStr">
        <is>
          <t>No — mitigate</t>
        </is>
      </c>
      <c r="T10" s="7" t="inlineStr">
        <is>
          <t>Incident_Response_Plan.pdf; Q-J-028, Q-J-029</t>
        </is>
      </c>
    </row>
    <row r="11">
      <c r="A11" s="5" t="inlineStr">
        <is>
          <t>VR-005</t>
        </is>
      </c>
      <c r="B11" s="5" t="inlineStr">
        <is>
          <t>SOC 2 Type I Only</t>
        </is>
      </c>
      <c r="C11" s="5" t="inlineStr">
        <is>
          <t>The available SOC 2 evidence is a Type I report dated 2025-09-30. Type I describes control design at a point in time and provides less assurance about operating effectiveness over a period than a Type II report.</t>
        </is>
      </c>
      <c r="D11" s="5" t="inlineStr">
        <is>
          <t>Nexus has reduced independent assurance that described controls operated effectively throughout a review period.</t>
        </is>
      </c>
      <c r="E11" s="5" t="inlineStr">
        <is>
          <t>Independent assurance over CloudFlow CRM control environment</t>
        </is>
      </c>
      <c r="F11" s="5" t="inlineStr">
        <is>
          <t>Compliance</t>
        </is>
      </c>
      <c r="G11" s="5" t="n">
        <v>3</v>
      </c>
      <c r="H11" s="5" t="n">
        <v>3</v>
      </c>
      <c r="I11" s="5">
        <f>G11*H11</f>
        <v/>
      </c>
      <c r="J11" s="5" t="inlineStr">
        <is>
          <t>SOC 2 Type I (Security and Availability TSC) issued 2025-09-30; no qualified opinion on design; Type II examination in progress targeting 2026-Q4.</t>
        </is>
      </c>
      <c r="K11" s="5" t="n">
        <v>2</v>
      </c>
      <c r="L11" s="5" t="n">
        <v>3</v>
      </c>
      <c r="M11" s="5">
        <f>K11*L11</f>
        <v/>
      </c>
      <c r="N11" s="5">
        <f>IF(M11&lt;=4,"Low",IF(M11&lt;=9,"Moderate",IF(M11&lt;=16,"High","Critical")))</f>
        <v/>
      </c>
      <c r="O11" s="5" t="inlineStr">
        <is>
          <t>Jordan Hale, CISO, CloudFlow Technologies</t>
        </is>
      </c>
      <c r="P11" s="8" t="inlineStr">
        <is>
          <t>Accept</t>
        </is>
      </c>
      <c r="Q11" s="5" t="inlineStr">
        <is>
          <t>2026-12-31</t>
        </is>
      </c>
      <c r="R11" s="5" t="inlineStr">
        <is>
          <t>Accepted with conditions — Type II required as continuous monitoring evidence</t>
        </is>
      </c>
      <c r="S11" s="5" t="inlineStr">
        <is>
          <t>Yes — CISO Nexus acceptance with Type II monitoring condition</t>
        </is>
      </c>
      <c r="T11" s="5" t="inlineStr">
        <is>
          <t>SOC2_TypeI_Summary.pdf; Q-O-041</t>
        </is>
      </c>
    </row>
    <row r="12">
      <c r="A12" s="7" t="inlineStr">
        <is>
          <t>VR-006</t>
        </is>
      </c>
      <c r="B12" s="7" t="inlineStr">
        <is>
          <t>No ISO 27001 Certification</t>
        </is>
      </c>
      <c r="C12" s="7" t="inlineStr">
        <is>
          <t>CloudFlow Technologies does not hold ISO/IEC 27001 certification. An internal ISMS exists and maps selected ISO 27001 control concepts, but no accredited certification has been obtained.</t>
        </is>
      </c>
      <c r="D12" s="7" t="inlineStr">
        <is>
          <t>Absence of certification is not by itself a control failure, but it reduces external validation of the information security management system.</t>
        </is>
      </c>
      <c r="E12" s="7" t="inlineStr">
        <is>
          <t>Information security management system assurance</t>
        </is>
      </c>
      <c r="F12" s="7" t="inlineStr">
        <is>
          <t>Security Governance / Compliance</t>
        </is>
      </c>
      <c r="G12" s="7" t="n">
        <v>3</v>
      </c>
      <c r="H12" s="7" t="n">
        <v>3</v>
      </c>
      <c r="I12" s="7">
        <f>G12*H12</f>
        <v/>
      </c>
      <c r="J12" s="7" t="inlineStr">
        <is>
          <t>Documented information security policy; named CISO; annual policy review cycle; SOC 2 Type I; internal control mapping to ISO/IEC 27001 Annex A concepts.</t>
        </is>
      </c>
      <c r="K12" s="7" t="n">
        <v>2</v>
      </c>
      <c r="L12" s="7" t="n">
        <v>3</v>
      </c>
      <c r="M12" s="7">
        <f>K12*L12</f>
        <v/>
      </c>
      <c r="N12" s="7">
        <f>IF(M12&lt;=4,"Low",IF(M12&lt;=9,"Moderate",IF(M12&lt;=16,"High","Critical")))</f>
        <v/>
      </c>
      <c r="O12" s="7" t="inlineStr">
        <is>
          <t>Jordan Hale, CISO, CloudFlow Technologies</t>
        </is>
      </c>
      <c r="P12" s="8" t="inlineStr">
        <is>
          <t>Accept</t>
        </is>
      </c>
      <c r="Q12" s="7" t="inlineStr">
        <is>
          <t>2027-06-30</t>
        </is>
      </c>
      <c r="R12" s="7" t="inlineStr">
        <is>
          <t>Accepted with conditions — ISMS evidence accepted in lieu of certification</t>
        </is>
      </c>
      <c r="S12" s="7" t="inlineStr">
        <is>
          <t>Yes — accepted provided annual independent assurance continues</t>
        </is>
      </c>
      <c r="T12" s="7" t="inlineStr">
        <is>
          <t>Information_Security_Policy.pdf; Q-O-042; Q-A-003</t>
        </is>
      </c>
    </row>
    <row r="13">
      <c r="A13" s="5" t="inlineStr">
        <is>
          <t>VR-007</t>
        </is>
      </c>
      <c r="B13" s="5" t="inlineStr">
        <is>
          <t>Vulnerability Remediation Window</t>
        </is>
      </c>
      <c r="C13" s="5" t="inlineStr">
        <is>
          <t>High-severity vulnerabilities may remain open for up to 30 days under the vendor vulnerability management policy. Critical findings target 7 days, but high-severity internet-facing issues can remain for a full month.</t>
        </is>
      </c>
      <c r="D13" s="5" t="inlineStr">
        <is>
          <t>Known exploitable weaknesses in the CRM stack could persist long enough to be targeted, increasing the chance of confidentiality or availability impact.</t>
        </is>
      </c>
      <c r="E13" s="5" t="inlineStr">
        <is>
          <t>CloudFlow CRM application and supporting AWS infrastructure</t>
        </is>
      </c>
      <c r="F13" s="5" t="inlineStr">
        <is>
          <t>Vulnerability Management</t>
        </is>
      </c>
      <c r="G13" s="5" t="n">
        <v>4</v>
      </c>
      <c r="H13" s="5" t="n">
        <v>3</v>
      </c>
      <c r="I13" s="5">
        <f>G13*H13</f>
        <v/>
      </c>
      <c r="J13" s="5" t="inlineStr">
        <is>
          <t>Monthly authenticated vulnerability scanning; annual independent penetration test; WAF and security groups; 7-day target for Critical; 30-day target for High; exception process with CISO approval.</t>
        </is>
      </c>
      <c r="K13" s="5" t="n">
        <v>3</v>
      </c>
      <c r="L13" s="5" t="n">
        <v>3</v>
      </c>
      <c r="M13" s="5">
        <f>K13*L13</f>
        <v/>
      </c>
      <c r="N13" s="5">
        <f>IF(M13&lt;=4,"Low",IF(M13&lt;=9,"Moderate",IF(M13&lt;=16,"High","Critical")))</f>
        <v/>
      </c>
      <c r="O13" s="5" t="inlineStr">
        <is>
          <t>Morgan Ellis, Director of Security, CloudFlow Technologies</t>
        </is>
      </c>
      <c r="P13" s="8" t="inlineStr">
        <is>
          <t>Accept</t>
        </is>
      </c>
      <c r="Q13" s="5" t="inlineStr">
        <is>
          <t>2026-06-30</t>
        </is>
      </c>
      <c r="R13" s="5" t="inlineStr">
        <is>
          <t>Accepted with conditions — 15-day High SLA requested for internet-facing assets</t>
        </is>
      </c>
      <c r="S13" s="5" t="inlineStr">
        <is>
          <t>Yes — accepted if internet-facing High findings meet 15-day target</t>
        </is>
      </c>
      <c r="T13" s="5" t="inlineStr">
        <is>
          <t>Vulnerability_Management_Policy.pdf; Penetration_Test_Summary.pdf; Q-F-018</t>
        </is>
      </c>
    </row>
    <row r="14">
      <c r="A14" s="7" t="inlineStr">
        <is>
          <t>VR-008</t>
        </is>
      </c>
      <c r="B14" s="7" t="inlineStr">
        <is>
          <t>Legacy MFA Gap</t>
        </is>
      </c>
      <c r="C14" s="7" t="inlineStr">
        <is>
          <t>Some legacy internal systems do not support multi-factor authentication. Privileged access to CloudFlow CRM production and AWS is MFA-enforced, but a small set of legacy administrative utilities still rely on password plus VPN.</t>
        </is>
      </c>
      <c r="D14" s="7" t="inlineStr">
        <is>
          <t>Compromise of a legacy administrative credential could provide a pathway toward production support tooling if network segmentation fails.</t>
        </is>
      </c>
      <c r="E14" s="7" t="inlineStr">
        <is>
          <t>Legacy internal admin utilities (not customer-facing CRM UI)</t>
        </is>
      </c>
      <c r="F14" s="7" t="inlineStr">
        <is>
          <t>Identity and Access Management</t>
        </is>
      </c>
      <c r="G14" s="7" t="n">
        <v>4</v>
      </c>
      <c r="H14" s="7" t="n">
        <v>4</v>
      </c>
      <c r="I14" s="7">
        <f>G14*H14</f>
        <v/>
      </c>
      <c r="J14" s="7" t="inlineStr">
        <is>
          <t>MFA for production CRM, AWS IAM (privileged), and corporate SSO; VPN required for legacy tools; quarterly access reviews; privileged access via jump host for AWS.</t>
        </is>
      </c>
      <c r="K14" s="7" t="n">
        <v>3</v>
      </c>
      <c r="L14" s="7" t="n">
        <v>3</v>
      </c>
      <c r="M14" s="7">
        <f>K14*L14</f>
        <v/>
      </c>
      <c r="N14" s="7">
        <f>IF(M14&lt;=4,"Low",IF(M14&lt;=9,"Moderate",IF(M14&lt;=16,"High","Critical")))</f>
        <v/>
      </c>
      <c r="O14" s="7" t="inlineStr">
        <is>
          <t>Morgan Ellis, Director of Security, CloudFlow Technologies</t>
        </is>
      </c>
      <c r="P14" s="6" t="inlineStr">
        <is>
          <t>Mitigate</t>
        </is>
      </c>
      <c r="Q14" s="7" t="inlineStr">
        <is>
          <t>2026-05-15</t>
        </is>
      </c>
      <c r="R14" s="7" t="inlineStr">
        <is>
          <t>Open — MFA or compensating control required on remaining legacy admin tools</t>
        </is>
      </c>
      <c r="S14" s="7" t="inlineStr">
        <is>
          <t>No — mitigate</t>
        </is>
      </c>
      <c r="T14" s="7" t="inlineStr">
        <is>
          <t>Access_Control_Policy.pdf; Q-C-009</t>
        </is>
      </c>
    </row>
  </sheetData>
  <autoFilter ref="A6:T14"/>
  <mergeCells count="3">
    <mergeCell ref="A1:T1"/>
    <mergeCell ref="A3:T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Risk register dashboard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 ht="32" customHeight="1">
      <c r="A6" s="4" t="inlineStr">
        <is>
          <t>Metric</t>
        </is>
      </c>
      <c r="B6" s="4" t="inlineStr">
        <is>
          <t>Value</t>
        </is>
      </c>
    </row>
    <row r="7">
      <c r="A7" s="5" t="inlineStr">
        <is>
          <t>Count of risks</t>
        </is>
      </c>
      <c r="B7" s="5">
        <f>COUNTA(Risk_Register!A7:A14)</f>
        <v/>
      </c>
    </row>
    <row r="8">
      <c r="A8" s="7" t="inlineStr">
        <is>
          <t>High residual (rating High)</t>
        </is>
      </c>
      <c r="B8" s="7">
        <f>COUNTIF(Risk_Register!N7:N14,"High")</f>
        <v/>
      </c>
    </row>
    <row r="9">
      <c r="A9" s="5" t="inlineStr">
        <is>
          <t>Moderate residual</t>
        </is>
      </c>
      <c r="B9" s="5">
        <f>COUNTIF(Risk_Register!N7:N14,"Moderate")</f>
        <v/>
      </c>
    </row>
    <row r="10">
      <c r="A10" s="7" t="inlineStr">
        <is>
          <t>Low residual</t>
        </is>
      </c>
      <c r="B10" s="7">
        <f>COUNTIF(Risk_Register!N7:N14,"Low")</f>
        <v/>
      </c>
    </row>
    <row r="11">
      <c r="A11" s="5" t="inlineStr">
        <is>
          <t>Critical residual</t>
        </is>
      </c>
      <c r="B11" s="5">
        <f>COUNTIF(Risk_Register!N7:N14,"Critical")</f>
        <v/>
      </c>
    </row>
    <row r="12">
      <c r="A12" s="7" t="inlineStr">
        <is>
          <t>Treatments = Mitigate</t>
        </is>
      </c>
      <c r="B12" s="7">
        <f>COUNTIF(Risk_Register!P7:P14,"Mitigate")</f>
        <v/>
      </c>
    </row>
    <row r="13">
      <c r="A13" s="5" t="inlineStr">
        <is>
          <t>Treatments = Accept</t>
        </is>
      </c>
      <c r="B13" s="5">
        <f>COUNTIF(Risk_Register!P7:P14,"Accept")</f>
        <v/>
      </c>
    </row>
    <row r="14">
      <c r="A14" s="7" t="n"/>
      <c r="B14" s="7" t="n"/>
    </row>
    <row r="15">
      <c r="A15" s="5" t="inlineStr">
        <is>
          <t>Overall vendor residual risk rating</t>
        </is>
      </c>
      <c r="B15" s="5" t="inlineStr">
        <is>
          <t>High</t>
        </is>
      </c>
    </row>
    <row r="16">
      <c r="A16" s="7" t="inlineStr">
        <is>
          <t>Recommendation</t>
        </is>
      </c>
      <c r="B16" s="7" t="inlineStr">
        <is>
          <t>Conditional Approval</t>
        </is>
      </c>
    </row>
    <row r="17">
      <c r="A17" s="5" t="n"/>
      <c r="B17" s="5" t="n"/>
    </row>
    <row r="18">
      <c r="A18" s="7" t="inlineStr">
        <is>
          <t>This is a fictional cybersecurity case study created for educational and portfolio purposes.</t>
        </is>
      </c>
      <c r="B18" s="7" t="n"/>
    </row>
  </sheetData>
  <autoFilter ref="A6:B6"/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5x5 scoring scale used by formulas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>
      <c r="A6" t="inlineStr">
        <is>
          <t>Score range</t>
        </is>
      </c>
      <c r="B6" t="inlineStr">
        <is>
          <t>Rating</t>
        </is>
      </c>
    </row>
    <row r="7">
      <c r="A7" t="inlineStr">
        <is>
          <t>1–4</t>
        </is>
      </c>
      <c r="B7" t="inlineStr">
        <is>
          <t>Low</t>
        </is>
      </c>
    </row>
    <row r="8">
      <c r="A8" t="inlineStr">
        <is>
          <t>5–9</t>
        </is>
      </c>
      <c r="B8" t="inlineStr">
        <is>
          <t>Moderate</t>
        </is>
      </c>
    </row>
    <row r="9">
      <c r="A9" t="inlineStr">
        <is>
          <t>10–16</t>
        </is>
      </c>
      <c r="B9" t="inlineStr">
        <is>
          <t>High</t>
        </is>
      </c>
    </row>
    <row r="10">
      <c r="A10" t="inlineStr">
        <is>
          <t>17–25</t>
        </is>
      </c>
      <c r="B10" t="inlineStr">
        <is>
          <t>Critical</t>
        </is>
      </c>
    </row>
    <row r="12">
      <c r="A12" t="inlineStr">
        <is>
          <t>Formula</t>
        </is>
      </c>
      <c r="B12" t="inlineStr">
        <is>
          <t>Risk Score = Likelihood × Impact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2026-09-11T03:51:29Z</dcterms:created>
  <dcterms:modified xsi:type="dcterms:W3CDTF">2026-09-11T03:51:29Z</dcterms:modified>
</cp:coreProperties>
</file>