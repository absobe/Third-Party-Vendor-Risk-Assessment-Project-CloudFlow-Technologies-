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ual_Risk" sheetId="1" state="visible" r:id="rId1"/>
  </sheets>
  <definedNames>
    <definedName name="_xlnm._FilterDatabase" localSheetId="0" hidden="1">'Residual_Risk'!$A$6:$I$14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55" customWidth="1" min="9" max="9"/>
  </cols>
  <sheetData>
    <row r="1">
      <c r="A1" s="1" t="inlineStr">
        <is>
          <t>Residual Risk Assessment (after existing controls)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4">
      <c r="A4" s="4" t="inlineStr">
        <is>
          <t>Existing controls do not automatically reduce scores. Likelihood is reduced only where controls demonstrably lower frequency or detectability.</t>
        </is>
      </c>
    </row>
    <row r="6" ht="32" customHeight="1">
      <c r="A6" s="5" t="inlineStr">
        <is>
          <t>Risk ID</t>
        </is>
      </c>
      <c r="B6" s="5" t="inlineStr">
        <is>
          <t>Risk Title</t>
        </is>
      </c>
      <c r="C6" s="5" t="inlineStr">
        <is>
          <t>Existing Controls</t>
        </is>
      </c>
      <c r="D6" s="5" t="inlineStr">
        <is>
          <t>Inherent Score</t>
        </is>
      </c>
      <c r="E6" s="5" t="inlineStr">
        <is>
          <t>Residual Likelihood</t>
        </is>
      </c>
      <c r="F6" s="5" t="inlineStr">
        <is>
          <t>Residual Impact</t>
        </is>
      </c>
      <c r="G6" s="5" t="inlineStr">
        <is>
          <t>Residual Score (L×I)</t>
        </is>
      </c>
      <c r="H6" s="5" t="inlineStr">
        <is>
          <t>Residual Rating</t>
        </is>
      </c>
      <c r="I6" s="5" t="inlineStr">
        <is>
          <t>Why residual did or did not decrease</t>
        </is>
      </c>
    </row>
    <row r="7">
      <c r="A7" s="6" t="inlineStr">
        <is>
          <t>VR-001</t>
        </is>
      </c>
      <c r="B7" s="6" t="inlineStr">
        <is>
          <t>Weak Subprocessor Governance</t>
        </is>
      </c>
      <c r="C7" s="6" t="inlineStr">
        <is>
          <t>Subprocessor inventory exists; contractual flow-down clauses for core AWS and selected SaaS utilities; annual review of named subprocessors without standardized risk scoring.</t>
        </is>
      </c>
      <c r="D7" s="6" t="n">
        <v>16</v>
      </c>
      <c r="E7" s="6" t="n">
        <v>3</v>
      </c>
      <c r="F7" s="6" t="n">
        <v>4</v>
      </c>
      <c r="G7" s="6">
        <f>E7*F7</f>
        <v/>
      </c>
      <c r="H7" s="6">
        <f>IF(G7&lt;=4,"Low",IF(G7&lt;=9,"Moderate",IF(G7&lt;=16,"High","Critical")))</f>
        <v/>
      </c>
      <c r="I7" s="6" t="inlineStr">
        <is>
          <t>Inventory and some contracts exist, so likelihood reduced from 4 to 3. Impact remains 4 because a weak subprocessor can still expose Confidential data.</t>
        </is>
      </c>
    </row>
    <row r="8">
      <c r="A8" s="7" t="inlineStr">
        <is>
          <t>VR-002</t>
        </is>
      </c>
      <c r="B8" s="7" t="inlineStr">
        <is>
          <t>Insufficient Backup Recovery Testing</t>
        </is>
      </c>
      <c r="C8" s="7" t="inlineStr">
        <is>
          <t>Daily encrypted backups; 30-day operational retention plus 12-month archive; annual restoration test of a non-production snapshot completed 2025-11-12.</t>
        </is>
      </c>
      <c r="D8" s="7" t="n">
        <v>16</v>
      </c>
      <c r="E8" s="7" t="n">
        <v>3</v>
      </c>
      <c r="F8" s="7" t="n">
        <v>4</v>
      </c>
      <c r="G8" s="7">
        <f>E8*F8</f>
        <v/>
      </c>
      <c r="H8" s="7">
        <f>IF(G8&lt;=4,"Low",IF(G8&lt;=9,"Moderate",IF(G8&lt;=16,"High","Critical")))</f>
        <v/>
      </c>
      <c r="I8" s="7" t="inlineStr">
        <is>
          <t>Daily backups exist, so a total inability to recover is less likely (4→3). Impact remains 4 because restore evidence is still annual and RTO confidence is limited.</t>
        </is>
      </c>
    </row>
    <row r="9">
      <c r="A9" s="6" t="inlineStr">
        <is>
          <t>VR-003</t>
        </is>
      </c>
      <c r="B9" s="6" t="inlineStr">
        <is>
          <t>Undefined Recovery Point Objective</t>
        </is>
      </c>
      <c r="C9" s="6" t="inlineStr">
        <is>
          <t>Daily backups provide a de facto recovery point of approximately 24 hours; RTO of 8 hours is stated for the production CRM tier in the BCP, but RPO is not formally approved by business and technology owners.</t>
        </is>
      </c>
      <c r="D9" s="6" t="n">
        <v>16</v>
      </c>
      <c r="E9" s="6" t="n">
        <v>3</v>
      </c>
      <c r="F9" s="6" t="n">
        <v>4</v>
      </c>
      <c r="G9" s="6">
        <f>E9*F9</f>
        <v/>
      </c>
      <c r="H9" s="6">
        <f>IF(G9&lt;=4,"Low",IF(G9&lt;=9,"Moderate",IF(G9&lt;=16,"High","Critical")))</f>
        <v/>
      </c>
      <c r="I9" s="6" t="inlineStr">
        <is>
          <t>Daily backup implies ~24h loss, reducing likelihood of unbounded loss (4→3). Impact stays 4 because 24h may still exceed Nexus tolerance and is not approved.</t>
        </is>
      </c>
    </row>
    <row r="10">
      <c r="A10" s="7" t="inlineStr">
        <is>
          <t>VR-004</t>
        </is>
      </c>
      <c r="B10" s="7" t="inlineStr">
        <is>
          <t>Unclear Incident Notification SLA</t>
        </is>
      </c>
      <c r="C10" s="7" t="inlineStr">
        <is>
          <t>Formal incident response plan; severity classification; internal 24-hour executive escalation for Severity 1 events; customer notice described as 'without undue delay' and 'as required by law'.</t>
        </is>
      </c>
      <c r="D10" s="7" t="n">
        <v>16</v>
      </c>
      <c r="E10" s="7" t="n">
        <v>3</v>
      </c>
      <c r="F10" s="7" t="n">
        <v>4</v>
      </c>
      <c r="G10" s="7">
        <f>E10*F10</f>
        <v/>
      </c>
      <c r="H10" s="7">
        <f>IF(G10&lt;=4,"Low",IF(G10&lt;=9,"Moderate",IF(G10&lt;=16,"High","Critical")))</f>
        <v/>
      </c>
      <c r="I10" s="7" t="inlineStr">
        <is>
          <t>Internal escalation exists, so complete non-notification is less likely (4→3). Impact remains 4 because Nexus regulatory clocks still depend on vendor notice.</t>
        </is>
      </c>
    </row>
    <row r="11">
      <c r="A11" s="6" t="inlineStr">
        <is>
          <t>VR-005</t>
        </is>
      </c>
      <c r="B11" s="6" t="inlineStr">
        <is>
          <t>SOC 2 Type I Only</t>
        </is>
      </c>
      <c r="C11" s="6" t="inlineStr">
        <is>
          <t>SOC 2 Type I (Security and Availability TSC) issued 2025-09-30; no qualified opinion on design; Type II examination in progress targeting 2026-Q4.</t>
        </is>
      </c>
      <c r="D11" s="6" t="n">
        <v>9</v>
      </c>
      <c r="E11" s="6" t="n">
        <v>2</v>
      </c>
      <c r="F11" s="6" t="n">
        <v>3</v>
      </c>
      <c r="G11" s="6">
        <f>E11*F11</f>
        <v/>
      </c>
      <c r="H11" s="6">
        <f>IF(G11&lt;=4,"Low",IF(G11&lt;=9,"Moderate",IF(G11&lt;=16,"High","Critical")))</f>
        <v/>
      </c>
      <c r="I11" s="6" t="inlineStr">
        <is>
          <t>Type I plus internal policies reduce likelihood of a wholly undesigned control environment (3→2). Impact remains 3 (assurance gap, not a direct technical failure).</t>
        </is>
      </c>
    </row>
    <row r="12">
      <c r="A12" s="7" t="inlineStr">
        <is>
          <t>VR-006</t>
        </is>
      </c>
      <c r="B12" s="7" t="inlineStr">
        <is>
          <t>No ISO 27001 Certification</t>
        </is>
      </c>
      <c r="C12" s="7" t="inlineStr">
        <is>
          <t>Documented information security policy; named CISO; annual policy review cycle; SOC 2 Type I; internal control mapping to ISO/IEC 27001 Annex A concepts.</t>
        </is>
      </c>
      <c r="D12" s="7" t="n">
        <v>9</v>
      </c>
      <c r="E12" s="7" t="n">
        <v>2</v>
      </c>
      <c r="F12" s="7" t="n">
        <v>3</v>
      </c>
      <c r="G12" s="7">
        <f>E12*F12</f>
        <v/>
      </c>
      <c r="H12" s="7">
        <f>IF(G12&lt;=4,"Low",IF(G12&lt;=9,"Moderate",IF(G12&lt;=16,"High","Critical")))</f>
        <v/>
      </c>
      <c r="I12" s="7" t="inlineStr">
        <is>
          <t>Operated ISMS and SOC 2 Type I reduce likelihood (3→2). Impact remains 3 (missing certification is an assurance issue).</t>
        </is>
      </c>
    </row>
    <row r="13">
      <c r="A13" s="6" t="inlineStr">
        <is>
          <t>VR-007</t>
        </is>
      </c>
      <c r="B13" s="6" t="inlineStr">
        <is>
          <t>Vulnerability Remediation Window</t>
        </is>
      </c>
      <c r="C13" s="6" t="inlineStr">
        <is>
          <t>Monthly authenticated vulnerability scanning; annual independent penetration test; WAF and security groups; 7-day target for Critical; 30-day target for High; exception process with CISO approval.</t>
        </is>
      </c>
      <c r="D13" s="6" t="n">
        <v>12</v>
      </c>
      <c r="E13" s="6" t="n">
        <v>3</v>
      </c>
      <c r="F13" s="6" t="n">
        <v>3</v>
      </c>
      <c r="G13" s="6">
        <f>E13*F13</f>
        <v/>
      </c>
      <c r="H13" s="6">
        <f>IF(G13&lt;=4,"Low",IF(G13&lt;=9,"Moderate",IF(G13&lt;=16,"High","Critical")))</f>
        <v/>
      </c>
      <c r="I13" s="6" t="inlineStr">
        <is>
          <t>Scanning, PT, and WAF reduce likelihood (4→3). Impact reduced to 3 because the window applies to High, not unpatched Critical, and Critical SLA is 7 days.</t>
        </is>
      </c>
    </row>
    <row r="14">
      <c r="A14" s="7" t="inlineStr">
        <is>
          <t>VR-008</t>
        </is>
      </c>
      <c r="B14" s="7" t="inlineStr">
        <is>
          <t>Legacy MFA Gap</t>
        </is>
      </c>
      <c r="C14" s="7" t="inlineStr">
        <is>
          <t>MFA for production CRM, AWS IAM (privileged), and corporate SSO; VPN required for legacy tools; quarterly access reviews; privileged access via jump host for AWS.</t>
        </is>
      </c>
      <c r="D14" s="7" t="n">
        <v>16</v>
      </c>
      <c r="E14" s="7" t="n">
        <v>3</v>
      </c>
      <c r="F14" s="7" t="n">
        <v>3</v>
      </c>
      <c r="G14" s="7">
        <f>E14*F14</f>
        <v/>
      </c>
      <c r="H14" s="7">
        <f>IF(G14&lt;=4,"Low",IF(G14&lt;=9,"Moderate",IF(G14&lt;=16,"High","Critical")))</f>
        <v/>
      </c>
      <c r="I14" s="7" t="inlineStr">
        <is>
          <t>MFA on production/AWS and VPN for legacy tools reduce both likelihood and impact (4×4 → 3×3). Residual remains Moderate until legacy MFA is closed.</t>
        </is>
      </c>
    </row>
  </sheetData>
  <autoFilter ref="A6:I14"/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